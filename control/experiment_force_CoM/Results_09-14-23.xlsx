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n Hyland\MATLAB Drive\Research\MoCap_and_Comms\force_CoM\"/>
    </mc:Choice>
  </mc:AlternateContent>
  <xr:revisionPtr revIDLastSave="0" documentId="13_ncr:1_{8362D8C1-ADBE-46E8-B148-264E52B16F23}" xr6:coauthVersionLast="47" xr6:coauthVersionMax="47" xr10:uidLastSave="{00000000-0000-0000-0000-000000000000}"/>
  <bookViews>
    <workbookView xWindow="-105" yWindow="0" windowWidth="19410" windowHeight="20985" activeTab="1" xr2:uid="{770BB691-D286-4600-AF39-B498B7F7C6D8}"/>
  </bookViews>
  <sheets>
    <sheet name="Sheet1" sheetId="1" r:id="rId1"/>
    <sheet name="Experimen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3" l="1"/>
  <c r="U5" i="3"/>
  <c r="U6" i="3"/>
  <c r="U7" i="3"/>
  <c r="U8" i="3"/>
  <c r="U9" i="3"/>
  <c r="U10" i="3"/>
  <c r="U11" i="3"/>
  <c r="U12" i="3"/>
  <c r="U13" i="3"/>
  <c r="B22" i="3"/>
  <c r="B23" i="3" s="1"/>
  <c r="N28" i="3"/>
  <c r="N38" i="3" s="1"/>
  <c r="N30" i="3"/>
  <c r="N32" i="3"/>
  <c r="N34" i="3"/>
  <c r="N36" i="3"/>
  <c r="M38" i="3"/>
  <c r="D4" i="3" l="1"/>
  <c r="V4" i="3" s="1"/>
  <c r="W4" i="3" s="1"/>
  <c r="D9" i="3"/>
  <c r="D5" i="3"/>
  <c r="D10" i="3"/>
  <c r="D12" i="3"/>
  <c r="D6" i="3"/>
  <c r="D11" i="3"/>
  <c r="D7" i="3"/>
  <c r="D8" i="3"/>
  <c r="V8" i="3" s="1"/>
  <c r="W8" i="3" s="1"/>
  <c r="D13" i="3"/>
  <c r="V12" i="3" l="1"/>
  <c r="W12" i="3" s="1"/>
  <c r="V6" i="3"/>
  <c r="V10" i="3"/>
  <c r="W10" i="3" s="1"/>
  <c r="W6" i="3" l="1"/>
  <c r="W14" i="3" s="1"/>
  <c r="V14" i="3"/>
</calcChain>
</file>

<file path=xl/sharedStrings.xml><?xml version="1.0" encoding="utf-8"?>
<sst xmlns="http://schemas.openxmlformats.org/spreadsheetml/2006/main" count="98" uniqueCount="61">
  <si>
    <t>Payload</t>
  </si>
  <si>
    <t>CoM Position</t>
  </si>
  <si>
    <t>Trial #</t>
  </si>
  <si>
    <t>Up 50g</t>
  </si>
  <si>
    <t>Down 100g</t>
  </si>
  <si>
    <t>?</t>
  </si>
  <si>
    <t>Circle</t>
  </si>
  <si>
    <t>Polygon</t>
  </si>
  <si>
    <t>Final vector x</t>
  </si>
  <si>
    <t>Final vector y</t>
  </si>
  <si>
    <t>Down 100 weight placed at 61mm in negative y axis</t>
  </si>
  <si>
    <t>Straight ahead</t>
  </si>
  <si>
    <t>Ahead is 52mm in front of attachment point, 5 to the 'right' or 'up'</t>
  </si>
  <si>
    <t>Ahead is 44mm in front and 46mm 'left' or 'down'</t>
  </si>
  <si>
    <t>True blob CoM is 46mm in front of attach, 7mm left if attach is on the rhs like all measurements above</t>
  </si>
  <si>
    <t>Can also find thru some program if I still have the blob shape</t>
  </si>
  <si>
    <t>Y</t>
  </si>
  <si>
    <t>X</t>
  </si>
  <si>
    <t>Pos 5</t>
  </si>
  <si>
    <t>Pos 4</t>
  </si>
  <si>
    <t>Pos 3</t>
  </si>
  <si>
    <t>Pos 2</t>
  </si>
  <si>
    <t>Pos 1</t>
  </si>
  <si>
    <t>Run Time</t>
  </si>
  <si>
    <t>90 deg Trials</t>
  </si>
  <si>
    <t>180 deg Trials</t>
  </si>
  <si>
    <t>Weight Placement (mm)</t>
  </si>
  <si>
    <t>Time (sec)</t>
  </si>
  <si>
    <t>Time Table</t>
  </si>
  <si>
    <t>grams</t>
  </si>
  <si>
    <t>Payload Mass</t>
  </si>
  <si>
    <t>cm^3</t>
  </si>
  <si>
    <t>Volume</t>
  </si>
  <si>
    <t>cm</t>
  </si>
  <si>
    <t>Thickness</t>
  </si>
  <si>
    <t>cm^2</t>
  </si>
  <si>
    <t>Surface Area</t>
  </si>
  <si>
    <t>Diameter</t>
  </si>
  <si>
    <t>g/cm^3</t>
  </si>
  <si>
    <t>Acrylic Density</t>
  </si>
  <si>
    <t>Payload Properties</t>
  </si>
  <si>
    <t>g</t>
  </si>
  <si>
    <t>Weight Mass</t>
  </si>
  <si>
    <t>Trial 5</t>
  </si>
  <si>
    <t>Trial 4</t>
  </si>
  <si>
    <t>Trial 3</t>
  </si>
  <si>
    <t>Trial 2</t>
  </si>
  <si>
    <t>Trial 1</t>
  </si>
  <si>
    <t>CoM</t>
  </si>
  <si>
    <t>Weight Placement</t>
  </si>
  <si>
    <t>Relative Error</t>
  </si>
  <si>
    <t>Distance</t>
  </si>
  <si>
    <t>Average</t>
  </si>
  <si>
    <t>Esimated Com</t>
  </si>
  <si>
    <t>r = 90 deg</t>
  </si>
  <si>
    <t>r = 180 deg</t>
  </si>
  <si>
    <t>Actual</t>
  </si>
  <si>
    <t>** FINAL PUSH VECTORS, NOT CoM ESTIMATE **</t>
  </si>
  <si>
    <t>Raw Data (Robot Push Vectors)</t>
  </si>
  <si>
    <t>Actual Pos</t>
  </si>
  <si>
    <t>0 16.32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</si>
</sst>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2" fontId="0" fillId="0" borderId="7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4" fillId="0" borderId="0" xfId="0" applyFont="1"/>
    <xf numFmtId="2" fontId="1" fillId="0" borderId="13" xfId="0" applyNumberFormat="1" applyFont="1" applyBorder="1"/>
    <xf numFmtId="0" fontId="5" fillId="0" borderId="13" xfId="0" applyFont="1" applyBorder="1"/>
    <xf numFmtId="2" fontId="0" fillId="0" borderId="13" xfId="0" applyNumberFormat="1" applyBorder="1"/>
    <xf numFmtId="0" fontId="1" fillId="0" borderId="13" xfId="0" applyFont="1" applyBorder="1"/>
    <xf numFmtId="0" fontId="0" fillId="0" borderId="13" xfId="0" applyBorder="1"/>
    <xf numFmtId="0" fontId="6" fillId="0" borderId="0" xfId="0" applyFont="1"/>
    <xf numFmtId="10" fontId="0" fillId="0" borderId="0" xfId="0" applyNumberFormat="1"/>
    <xf numFmtId="10" fontId="0" fillId="0" borderId="0" xfId="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7" fillId="0" borderId="2" xfId="1" applyNumberFormat="1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0" fontId="7" fillId="0" borderId="12" xfId="1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0" fillId="0" borderId="14" xfId="1" applyNumberFormat="1" applyFont="1" applyBorder="1" applyAlignment="1">
      <alignment horizontal="center"/>
    </xf>
    <xf numFmtId="2" fontId="0" fillId="0" borderId="11" xfId="1" applyNumberFormat="1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2" fontId="0" fillId="0" borderId="14" xfId="0" applyNumberFormat="1" applyBorder="1" applyAlignment="1">
      <alignment horizontal="center" vertical="center"/>
    </xf>
    <xf numFmtId="2" fontId="0" fillId="3" borderId="6" xfId="1" applyNumberFormat="1" applyFon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2" fontId="0" fillId="3" borderId="14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2" fontId="0" fillId="0" borderId="1" xfId="1" applyNumberFormat="1" applyFont="1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2" fontId="0" fillId="0" borderId="14" xfId="1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2">
    <cellStyle name="Normal" xfId="0" builtinId="0"/>
    <cellStyle name="Percent 2" xfId="1" xr:uid="{F34B879C-64CD-4F6B-A13F-D292E62F99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BE81-5DBA-4A26-865C-43C4D45B273A}">
  <dimension ref="A1:I15"/>
  <sheetViews>
    <sheetView workbookViewId="0">
      <selection activeCell="I11" sqref="I11"/>
    </sheetView>
  </sheetViews>
  <sheetFormatPr defaultRowHeight="15" x14ac:dyDescent="0.25"/>
  <cols>
    <col min="1" max="1" width="8.140625" bestFit="1" customWidth="1"/>
    <col min="2" max="2" width="13.85546875" bestFit="1" customWidth="1"/>
    <col min="3" max="3" width="13.85546875" customWidth="1"/>
    <col min="4" max="4" width="6.28515625" bestFit="1" customWidth="1"/>
    <col min="5" max="6" width="12.7109375" bestFit="1" customWidth="1"/>
  </cols>
  <sheetData>
    <row r="1" spans="1:9" x14ac:dyDescent="0.25">
      <c r="A1" s="1" t="s">
        <v>0</v>
      </c>
      <c r="B1" s="1" t="s">
        <v>1</v>
      </c>
      <c r="C1" s="1" t="s">
        <v>59</v>
      </c>
      <c r="D1" s="1" t="s">
        <v>2</v>
      </c>
      <c r="E1" s="1" t="s">
        <v>8</v>
      </c>
      <c r="F1" s="1" t="s">
        <v>9</v>
      </c>
    </row>
    <row r="2" spans="1:9" x14ac:dyDescent="0.25">
      <c r="A2" s="5" t="s">
        <v>6</v>
      </c>
      <c r="B2" s="5" t="s">
        <v>3</v>
      </c>
      <c r="C2" s="3" t="s">
        <v>60</v>
      </c>
      <c r="D2" s="2">
        <v>1</v>
      </c>
      <c r="E2" s="6">
        <v>-119.8426</v>
      </c>
      <c r="F2" s="6">
        <v>-120.57259999999999</v>
      </c>
    </row>
    <row r="3" spans="1:9" x14ac:dyDescent="0.25">
      <c r="A3" s="5"/>
      <c r="B3" s="5"/>
      <c r="C3" s="3" t="s">
        <v>60</v>
      </c>
      <c r="D3" s="2">
        <v>2</v>
      </c>
      <c r="E3" s="6">
        <v>-121.63249999999999</v>
      </c>
      <c r="F3" s="6">
        <v>-118.7667</v>
      </c>
    </row>
    <row r="4" spans="1:9" x14ac:dyDescent="0.25">
      <c r="A4" s="5"/>
      <c r="B4" s="5"/>
      <c r="C4" s="3" t="s">
        <v>60</v>
      </c>
      <c r="D4" s="2">
        <v>3</v>
      </c>
      <c r="E4" s="6">
        <v>-126.94119999999999</v>
      </c>
      <c r="F4" s="6">
        <v>-113.0749</v>
      </c>
    </row>
    <row r="5" spans="1:9" x14ac:dyDescent="0.25">
      <c r="A5" s="5"/>
      <c r="B5" s="5" t="s">
        <v>4</v>
      </c>
      <c r="C5" s="3"/>
      <c r="D5" s="2">
        <v>1</v>
      </c>
      <c r="E5" s="6">
        <v>-81.628399999999999</v>
      </c>
      <c r="F5" s="6">
        <v>-149.12010000000001</v>
      </c>
    </row>
    <row r="6" spans="1:9" x14ac:dyDescent="0.25">
      <c r="A6" s="5"/>
      <c r="B6" s="5"/>
      <c r="C6" s="3"/>
      <c r="D6" s="2">
        <v>2</v>
      </c>
      <c r="E6" s="6">
        <v>-68.416899999999998</v>
      </c>
      <c r="F6" s="6">
        <v>-155.625</v>
      </c>
      <c r="I6" t="s">
        <v>10</v>
      </c>
    </row>
    <row r="7" spans="1:9" x14ac:dyDescent="0.25">
      <c r="A7" s="5"/>
      <c r="B7" s="5"/>
      <c r="C7" s="3"/>
      <c r="D7" s="2">
        <v>3</v>
      </c>
      <c r="E7" s="6">
        <v>-64.255399999999995</v>
      </c>
      <c r="F7" s="6">
        <v>-157.3888</v>
      </c>
    </row>
    <row r="8" spans="1:9" x14ac:dyDescent="0.25">
      <c r="A8" s="5" t="s">
        <v>7</v>
      </c>
      <c r="B8" s="5" t="s">
        <v>11</v>
      </c>
      <c r="C8" s="3"/>
      <c r="D8" s="2">
        <v>1</v>
      </c>
      <c r="I8" t="s">
        <v>12</v>
      </c>
    </row>
    <row r="9" spans="1:9" x14ac:dyDescent="0.25">
      <c r="A9" s="5"/>
      <c r="B9" s="5"/>
      <c r="C9" s="3"/>
      <c r="D9" s="2">
        <v>2</v>
      </c>
    </row>
    <row r="10" spans="1:9" x14ac:dyDescent="0.25">
      <c r="A10" s="5"/>
      <c r="B10" s="5"/>
      <c r="C10" s="3"/>
      <c r="D10" s="2">
        <v>3</v>
      </c>
    </row>
    <row r="11" spans="1:9" x14ac:dyDescent="0.25">
      <c r="A11" s="5"/>
      <c r="B11" s="5" t="s">
        <v>5</v>
      </c>
      <c r="C11" s="3"/>
      <c r="D11" s="2">
        <v>1</v>
      </c>
      <c r="I11" t="s">
        <v>13</v>
      </c>
    </row>
    <row r="12" spans="1:9" x14ac:dyDescent="0.25">
      <c r="A12" s="5"/>
      <c r="B12" s="5"/>
      <c r="C12" s="3"/>
      <c r="D12" s="2">
        <v>2</v>
      </c>
    </row>
    <row r="13" spans="1:9" x14ac:dyDescent="0.25">
      <c r="A13" s="5"/>
      <c r="B13" s="5"/>
      <c r="C13" s="3"/>
      <c r="D13" s="2">
        <v>3</v>
      </c>
      <c r="I13" t="s">
        <v>14</v>
      </c>
    </row>
    <row r="14" spans="1:9" x14ac:dyDescent="0.25">
      <c r="A14" s="4"/>
      <c r="B14" s="4"/>
      <c r="C14" s="4"/>
      <c r="I14" t="s">
        <v>15</v>
      </c>
    </row>
    <row r="15" spans="1:9" x14ac:dyDescent="0.25">
      <c r="A15" s="4"/>
      <c r="B15" s="4"/>
      <c r="C15" s="4"/>
    </row>
  </sheetData>
  <mergeCells count="6">
    <mergeCell ref="B8:B10"/>
    <mergeCell ref="B11:B13"/>
    <mergeCell ref="A2:A7"/>
    <mergeCell ref="A8:A13"/>
    <mergeCell ref="B2:B4"/>
    <mergeCell ref="B5:B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C93C-D00A-496C-8662-6A74A1027BD3}">
  <dimension ref="A1:W38"/>
  <sheetViews>
    <sheetView tabSelected="1" zoomScale="115" zoomScaleNormal="115" workbookViewId="0">
      <selection activeCell="C8" sqref="C8"/>
    </sheetView>
  </sheetViews>
  <sheetFormatPr defaultRowHeight="15" x14ac:dyDescent="0.25"/>
  <cols>
    <col min="1" max="1" width="14.85546875" customWidth="1"/>
    <col min="2" max="13" width="8" customWidth="1"/>
    <col min="14" max="14" width="8.7109375" customWidth="1"/>
    <col min="15" max="15" width="0.85546875" customWidth="1"/>
    <col min="16" max="16" width="14.5703125" bestFit="1" customWidth="1"/>
    <col min="17" max="21" width="14.5703125" customWidth="1"/>
    <col min="23" max="23" width="14.5703125" bestFit="1" customWidth="1"/>
  </cols>
  <sheetData>
    <row r="1" spans="1:23" ht="16.5" thickBot="1" x14ac:dyDescent="0.3">
      <c r="A1" s="117" t="s">
        <v>58</v>
      </c>
      <c r="B1" s="52"/>
      <c r="C1" s="52"/>
      <c r="D1" s="52"/>
      <c r="E1" s="116" t="s">
        <v>57</v>
      </c>
      <c r="F1" s="115"/>
      <c r="G1" s="115"/>
      <c r="H1" s="115"/>
      <c r="I1" s="115"/>
      <c r="J1" s="115"/>
      <c r="K1" s="115"/>
      <c r="L1" s="115"/>
      <c r="M1" s="115"/>
      <c r="N1" s="115"/>
      <c r="O1" s="114"/>
    </row>
    <row r="2" spans="1:23" ht="15.75" x14ac:dyDescent="0.25">
      <c r="A2" s="113"/>
      <c r="B2" s="52"/>
      <c r="C2" s="52"/>
      <c r="D2" s="112" t="s">
        <v>56</v>
      </c>
      <c r="E2" s="21" t="s">
        <v>55</v>
      </c>
      <c r="F2" s="111"/>
      <c r="G2" s="111"/>
      <c r="H2" s="111"/>
      <c r="I2" s="111"/>
      <c r="J2" s="21" t="s">
        <v>54</v>
      </c>
      <c r="K2" s="111"/>
      <c r="L2" s="111"/>
      <c r="M2" s="111"/>
      <c r="N2" s="111"/>
      <c r="O2" s="110"/>
      <c r="P2" s="109" t="s">
        <v>53</v>
      </c>
      <c r="Q2" s="108"/>
      <c r="R2" s="108"/>
      <c r="S2" s="108"/>
      <c r="T2" s="107"/>
      <c r="U2" s="109" t="s">
        <v>52</v>
      </c>
      <c r="V2" s="108" t="s">
        <v>51</v>
      </c>
      <c r="W2" s="107" t="s">
        <v>50</v>
      </c>
    </row>
    <row r="3" spans="1:23" ht="16.5" thickBot="1" x14ac:dyDescent="0.3">
      <c r="A3" s="14" t="s">
        <v>49</v>
      </c>
      <c r="B3" s="38"/>
      <c r="C3" s="38"/>
      <c r="D3" s="106" t="s">
        <v>48</v>
      </c>
      <c r="E3" s="105" t="s">
        <v>47</v>
      </c>
      <c r="F3" s="104" t="s">
        <v>46</v>
      </c>
      <c r="G3" s="104" t="s">
        <v>45</v>
      </c>
      <c r="H3" s="104" t="s">
        <v>44</v>
      </c>
      <c r="I3" s="104" t="s">
        <v>43</v>
      </c>
      <c r="J3" s="103" t="s">
        <v>47</v>
      </c>
      <c r="K3" s="102" t="s">
        <v>46</v>
      </c>
      <c r="L3" s="102" t="s">
        <v>45</v>
      </c>
      <c r="M3" s="102" t="s">
        <v>44</v>
      </c>
      <c r="N3" s="102" t="s">
        <v>43</v>
      </c>
      <c r="O3" s="101"/>
      <c r="P3" s="100" t="s">
        <v>47</v>
      </c>
      <c r="Q3" s="99" t="s">
        <v>46</v>
      </c>
      <c r="R3" s="99" t="s">
        <v>45</v>
      </c>
      <c r="S3" s="99" t="s">
        <v>44</v>
      </c>
      <c r="T3" s="98" t="s">
        <v>43</v>
      </c>
      <c r="U3" s="97"/>
      <c r="V3" s="96"/>
      <c r="W3" s="95"/>
    </row>
    <row r="4" spans="1:23" ht="15.75" x14ac:dyDescent="0.25">
      <c r="A4" s="21" t="s">
        <v>22</v>
      </c>
      <c r="B4" s="20" t="s">
        <v>17</v>
      </c>
      <c r="C4" s="19">
        <v>0</v>
      </c>
      <c r="D4" s="69">
        <f>($B$15 *C4)/($B$23+$B$15)</f>
        <v>0</v>
      </c>
      <c r="E4" s="68">
        <v>0.997</v>
      </c>
      <c r="F4" s="67">
        <v>1</v>
      </c>
      <c r="G4" s="67">
        <v>0.9909</v>
      </c>
      <c r="H4" s="67">
        <v>0.99629999999999996</v>
      </c>
      <c r="I4" s="67">
        <v>0.98950000000000005</v>
      </c>
      <c r="J4" s="68">
        <v>1.8200000000000001E-2</v>
      </c>
      <c r="K4" s="67">
        <v>0</v>
      </c>
      <c r="L4" s="67">
        <v>0</v>
      </c>
      <c r="M4" s="67">
        <v>9.7999999999999997E-3</v>
      </c>
      <c r="N4" s="67">
        <v>0</v>
      </c>
      <c r="O4" s="66"/>
      <c r="P4" s="89">
        <v>1.44</v>
      </c>
      <c r="Q4" s="88">
        <v>0</v>
      </c>
      <c r="R4" s="88">
        <v>0</v>
      </c>
      <c r="S4" s="88">
        <v>0.77</v>
      </c>
      <c r="T4" s="88">
        <v>0</v>
      </c>
      <c r="U4" s="94">
        <f>AVERAGE(P4:T4)</f>
        <v>0.442</v>
      </c>
      <c r="V4" s="63">
        <f>SQRT(ABS(U4-D4)^2+ABS(U5-D5)^2)</f>
        <v>2.7201507311176711</v>
      </c>
      <c r="W4" s="62">
        <f>V4/($B$19*10)</f>
        <v>1.5814829832079484E-2</v>
      </c>
    </row>
    <row r="5" spans="1:23" ht="16.5" thickBot="1" x14ac:dyDescent="0.3">
      <c r="A5" s="14"/>
      <c r="B5" s="13" t="s">
        <v>16</v>
      </c>
      <c r="C5" s="12">
        <v>0</v>
      </c>
      <c r="D5" s="61">
        <f>($B$15 *C5)/($B$23+$B$15)</f>
        <v>0</v>
      </c>
      <c r="E5" s="60">
        <v>7.7299999999999994E-2</v>
      </c>
      <c r="F5" s="59">
        <v>0</v>
      </c>
      <c r="G5" s="59">
        <v>0.1343</v>
      </c>
      <c r="H5" s="59">
        <v>8.6400000000000005E-2</v>
      </c>
      <c r="I5" s="59">
        <v>-0.14430000000000001</v>
      </c>
      <c r="J5" s="60">
        <v>-0.99980000000000002</v>
      </c>
      <c r="K5" s="93">
        <v>-1</v>
      </c>
      <c r="L5" s="93">
        <v>-1</v>
      </c>
      <c r="M5" s="59">
        <v>-1</v>
      </c>
      <c r="N5" s="93">
        <v>-1</v>
      </c>
      <c r="O5" s="92"/>
      <c r="P5" s="57">
        <v>6.78</v>
      </c>
      <c r="Q5" s="56">
        <v>0</v>
      </c>
      <c r="R5" s="56">
        <v>11.66</v>
      </c>
      <c r="S5" s="56">
        <v>7.52</v>
      </c>
      <c r="T5" s="56">
        <v>-12.54</v>
      </c>
      <c r="U5" s="91">
        <f>AVERAGE(P5:T5)</f>
        <v>2.6840000000000002</v>
      </c>
      <c r="V5" s="54"/>
      <c r="W5" s="53"/>
    </row>
    <row r="6" spans="1:23" ht="15.75" x14ac:dyDescent="0.25">
      <c r="A6" s="87" t="s">
        <v>21</v>
      </c>
      <c r="B6" s="86" t="s">
        <v>17</v>
      </c>
      <c r="C6" s="85">
        <v>2</v>
      </c>
      <c r="D6" s="84">
        <f>($B$15 *C6)/($B$23+$B$15)</f>
        <v>0.90242158696394992</v>
      </c>
      <c r="E6" s="83">
        <v>0.996</v>
      </c>
      <c r="F6" s="82">
        <v>0.99550000000000005</v>
      </c>
      <c r="G6" s="82">
        <v>0.99509999999999998</v>
      </c>
      <c r="H6" s="82">
        <v>0.99450000000000005</v>
      </c>
      <c r="I6" s="82">
        <v>0.99480000000000002</v>
      </c>
      <c r="J6" s="75">
        <v>2.9499999999999998E-2</v>
      </c>
      <c r="K6" s="74">
        <v>0.1124</v>
      </c>
      <c r="L6" s="74">
        <v>7.0900000000000005E-2</v>
      </c>
      <c r="M6" s="74">
        <v>0.15440000000000001</v>
      </c>
      <c r="N6" s="74">
        <v>6.0499999999999998E-2</v>
      </c>
      <c r="O6" s="73"/>
      <c r="P6" s="70">
        <v>2.77</v>
      </c>
      <c r="Q6" s="90">
        <v>10.77</v>
      </c>
      <c r="R6" s="90">
        <v>6.77</v>
      </c>
      <c r="S6" s="90">
        <v>15.1</v>
      </c>
      <c r="T6" s="90">
        <v>5.78</v>
      </c>
      <c r="U6" s="70">
        <f>AVERAGE(P6:T6)</f>
        <v>8.2379999999999995</v>
      </c>
      <c r="V6" s="63">
        <f>SQRT(ABS(U6-D6)^2+ABS(U7-D7)^2)</f>
        <v>11.438376839745411</v>
      </c>
      <c r="W6" s="62">
        <f>V6/($B$19*10)</f>
        <v>6.6502190928752383E-2</v>
      </c>
    </row>
    <row r="7" spans="1:23" ht="16.5" thickBot="1" x14ac:dyDescent="0.3">
      <c r="A7" s="81"/>
      <c r="B7" s="80" t="s">
        <v>16</v>
      </c>
      <c r="C7" s="79">
        <v>-40</v>
      </c>
      <c r="D7" s="78">
        <f>($B$15 *C7)/($B$23+$B$15)</f>
        <v>-18.048431739278996</v>
      </c>
      <c r="E7" s="77">
        <v>-8.9200000000000002E-2</v>
      </c>
      <c r="F7" s="76">
        <v>-9.4700000000000006E-2</v>
      </c>
      <c r="G7" s="76">
        <v>-9.8900000000000002E-2</v>
      </c>
      <c r="H7" s="76">
        <v>-0.10440000000000001</v>
      </c>
      <c r="I7" s="76">
        <v>-0.1016</v>
      </c>
      <c r="J7" s="75">
        <v>-0.99960000000000004</v>
      </c>
      <c r="K7" s="74">
        <v>-0.99370000000000003</v>
      </c>
      <c r="L7" s="74">
        <v>-0.99750000000000005</v>
      </c>
      <c r="M7" s="74">
        <v>-0.98799999999999999</v>
      </c>
      <c r="N7" s="74">
        <v>-0.99819999999999998</v>
      </c>
      <c r="O7" s="73"/>
      <c r="P7" s="72">
        <v>-7.95</v>
      </c>
      <c r="Q7" s="71">
        <v>-9.2100000000000009</v>
      </c>
      <c r="R7" s="71">
        <v>-9.2200000000000006</v>
      </c>
      <c r="S7" s="71">
        <v>-10.61</v>
      </c>
      <c r="T7" s="71">
        <v>-9.3699999999999992</v>
      </c>
      <c r="U7" s="70">
        <f>AVERAGE(P7:T7)</f>
        <v>-9.2720000000000002</v>
      </c>
      <c r="V7" s="54"/>
      <c r="W7" s="53"/>
    </row>
    <row r="8" spans="1:23" ht="15.75" x14ac:dyDescent="0.25">
      <c r="A8" s="21" t="s">
        <v>20</v>
      </c>
      <c r="B8" s="20" t="s">
        <v>17</v>
      </c>
      <c r="C8" s="19">
        <v>50</v>
      </c>
      <c r="D8" s="69">
        <f>($B$15 *C8)/($B$23+$B$15)</f>
        <v>22.560539674098749</v>
      </c>
      <c r="E8" s="68">
        <v>0.99570000000000003</v>
      </c>
      <c r="F8" s="67">
        <v>0.99350000000000005</v>
      </c>
      <c r="G8" s="67">
        <v>0.99619999999999997</v>
      </c>
      <c r="H8" s="67">
        <v>0.98480000000000001</v>
      </c>
      <c r="I8" s="67">
        <v>0.99419999999999997</v>
      </c>
      <c r="J8" s="68">
        <v>0.1173</v>
      </c>
      <c r="K8" s="67">
        <v>0.30890000000000001</v>
      </c>
      <c r="L8" s="67">
        <v>0.2049</v>
      </c>
      <c r="M8" s="67">
        <v>0.24729999999999999</v>
      </c>
      <c r="N8" s="67">
        <v>0.1724</v>
      </c>
      <c r="O8" s="66"/>
      <c r="P8" s="89">
        <v>9.11</v>
      </c>
      <c r="Q8" s="88">
        <v>23.85</v>
      </c>
      <c r="R8" s="88">
        <v>16.13</v>
      </c>
      <c r="S8" s="88">
        <v>17.3</v>
      </c>
      <c r="T8" s="88">
        <v>13.17</v>
      </c>
      <c r="U8" s="64">
        <f>AVERAGE(P8:T8)</f>
        <v>15.912000000000001</v>
      </c>
      <c r="V8" s="63">
        <f>SQRT(ABS(U8-D8)^2+ABS(U9-D9)^2)</f>
        <v>12.58421502698739</v>
      </c>
      <c r="W8" s="62">
        <f>V8/($B$19*10)</f>
        <v>7.3164040854577853E-2</v>
      </c>
    </row>
    <row r="9" spans="1:23" ht="16.5" thickBot="1" x14ac:dyDescent="0.3">
      <c r="A9" s="14"/>
      <c r="B9" s="13" t="s">
        <v>16</v>
      </c>
      <c r="C9" s="12">
        <v>50</v>
      </c>
      <c r="D9" s="61">
        <f>($B$15 *C9)/($B$23+$B$15)</f>
        <v>22.560539674098749</v>
      </c>
      <c r="E9" s="60">
        <v>9.3100000000000002E-2</v>
      </c>
      <c r="F9" s="59">
        <v>0.11360000000000001</v>
      </c>
      <c r="G9" s="59">
        <v>8.7400000000000005E-2</v>
      </c>
      <c r="H9" s="59">
        <v>0.1736</v>
      </c>
      <c r="I9" s="59">
        <v>0.1079</v>
      </c>
      <c r="J9" s="60">
        <v>-0.99309999999999998</v>
      </c>
      <c r="K9" s="59">
        <v>-0.95109999999999995</v>
      </c>
      <c r="L9" s="59">
        <v>-0.9788</v>
      </c>
      <c r="M9" s="59">
        <v>-0.96889999999999998</v>
      </c>
      <c r="N9" s="59">
        <v>-0.98499999999999999</v>
      </c>
      <c r="O9" s="58"/>
      <c r="P9" s="57">
        <v>8.89</v>
      </c>
      <c r="Q9" s="56">
        <v>12.56</v>
      </c>
      <c r="R9" s="56">
        <v>8.9600000000000009</v>
      </c>
      <c r="S9" s="56">
        <v>18.21</v>
      </c>
      <c r="T9" s="56">
        <v>10.76</v>
      </c>
      <c r="U9" s="55">
        <f>AVERAGE(P9:T9)</f>
        <v>11.876000000000001</v>
      </c>
      <c r="V9" s="54"/>
      <c r="W9" s="53"/>
    </row>
    <row r="10" spans="1:23" ht="14.45" customHeight="1" x14ac:dyDescent="0.25">
      <c r="A10" s="87" t="s">
        <v>19</v>
      </c>
      <c r="B10" s="86" t="s">
        <v>17</v>
      </c>
      <c r="C10" s="85">
        <v>-40</v>
      </c>
      <c r="D10" s="84">
        <f>($B$15 *C10)/($B$23+$B$15)</f>
        <v>-18.048431739278996</v>
      </c>
      <c r="E10" s="83">
        <v>0.99680000000000002</v>
      </c>
      <c r="F10" s="82">
        <v>0.99980000000000002</v>
      </c>
      <c r="G10" s="82">
        <v>0.99919999999999998</v>
      </c>
      <c r="H10" s="82">
        <v>0.99590000000000001</v>
      </c>
      <c r="I10" s="82">
        <v>0.99880000000000002</v>
      </c>
      <c r="J10" s="75">
        <v>-0.14979999999999999</v>
      </c>
      <c r="K10" s="74">
        <v>-0.1827</v>
      </c>
      <c r="L10" s="74">
        <v>-0.2117</v>
      </c>
      <c r="M10" s="74">
        <v>-0.1226</v>
      </c>
      <c r="N10" s="74">
        <v>-0.221</v>
      </c>
      <c r="O10" s="73"/>
      <c r="P10" s="72">
        <v>-13.19</v>
      </c>
      <c r="Q10" s="71">
        <v>-15.74</v>
      </c>
      <c r="R10" s="71">
        <v>-19.2</v>
      </c>
      <c r="S10" s="71">
        <v>-9.77</v>
      </c>
      <c r="T10" s="71">
        <v>-18.739999999999998</v>
      </c>
      <c r="U10" s="70">
        <f>AVERAGE(P10:T10)</f>
        <v>-15.327999999999998</v>
      </c>
      <c r="V10" s="63">
        <f>SQRT(ABS(U10-D10)^2+ABS(U11-D11)^2)</f>
        <v>8.8354521160524371</v>
      </c>
      <c r="W10" s="62">
        <f>V10/($B$19*10)</f>
        <v>5.1368907651467656E-2</v>
      </c>
    </row>
    <row r="11" spans="1:23" ht="16.5" thickBot="1" x14ac:dyDescent="0.3">
      <c r="A11" s="81"/>
      <c r="B11" s="80" t="s">
        <v>16</v>
      </c>
      <c r="C11" s="79">
        <v>20</v>
      </c>
      <c r="D11" s="78">
        <f>($B$15 *C11)/($B$23+$B$15)</f>
        <v>9.0242158696394981</v>
      </c>
      <c r="E11" s="77">
        <v>-8.0199999999999994E-2</v>
      </c>
      <c r="F11" s="76">
        <v>1.83E-2</v>
      </c>
      <c r="G11" s="76">
        <v>-3.9300000000000002E-2</v>
      </c>
      <c r="H11" s="76">
        <v>9.0399999999999994E-2</v>
      </c>
      <c r="I11" s="76">
        <v>4.9200000000000001E-2</v>
      </c>
      <c r="J11" s="75">
        <v>-0.98870000000000002</v>
      </c>
      <c r="K11" s="74">
        <v>-0.98319999999999996</v>
      </c>
      <c r="L11" s="74">
        <v>-0.97729999999999995</v>
      </c>
      <c r="M11" s="74">
        <v>-0.99250000000000005</v>
      </c>
      <c r="N11" s="74">
        <v>-0.97529999999999994</v>
      </c>
      <c r="O11" s="73"/>
      <c r="P11" s="72">
        <v>-5.8</v>
      </c>
      <c r="Q11" s="71">
        <v>1.29</v>
      </c>
      <c r="R11" s="71">
        <v>-2.63</v>
      </c>
      <c r="S11" s="71">
        <v>6.92</v>
      </c>
      <c r="T11" s="71">
        <v>3.31</v>
      </c>
      <c r="U11" s="70">
        <f>AVERAGE(P11:T11)</f>
        <v>0.6180000000000001</v>
      </c>
      <c r="V11" s="54"/>
      <c r="W11" s="53"/>
    </row>
    <row r="12" spans="1:23" ht="15.75" x14ac:dyDescent="0.25">
      <c r="A12" s="21" t="s">
        <v>18</v>
      </c>
      <c r="B12" s="20" t="s">
        <v>17</v>
      </c>
      <c r="C12" s="19">
        <v>-30</v>
      </c>
      <c r="D12" s="69">
        <f>($B$15 *C12)/($B$23+$B$15)</f>
        <v>-13.536323804459249</v>
      </c>
      <c r="E12" s="68">
        <v>0.99590000000000001</v>
      </c>
      <c r="F12" s="67">
        <v>0.97470000000000001</v>
      </c>
      <c r="G12" s="67">
        <v>0.99929999999999997</v>
      </c>
      <c r="H12" s="67">
        <v>0.99409999999999998</v>
      </c>
      <c r="I12" s="67">
        <v>0.98299999999999998</v>
      </c>
      <c r="J12" s="68">
        <v>-0.13719999999999999</v>
      </c>
      <c r="K12" s="67">
        <v>-0.1265</v>
      </c>
      <c r="L12" s="67">
        <v>-0.11700000000000001</v>
      </c>
      <c r="M12" s="67">
        <v>-0.1158</v>
      </c>
      <c r="N12" s="67">
        <v>-0.1237</v>
      </c>
      <c r="O12" s="66"/>
      <c r="P12" s="64">
        <v>-12.83</v>
      </c>
      <c r="Q12" s="65">
        <v>-13.1</v>
      </c>
      <c r="R12" s="65">
        <v>-10.47</v>
      </c>
      <c r="S12" s="65">
        <v>-10.98</v>
      </c>
      <c r="T12" s="65">
        <v>-12.43</v>
      </c>
      <c r="U12" s="64">
        <f>AVERAGE(P12:T12)</f>
        <v>-11.962</v>
      </c>
      <c r="V12" s="63">
        <f>SQRT(ABS(U12-D12)^2+ABS(U13-D13)^2)</f>
        <v>10.805784565972344</v>
      </c>
      <c r="W12" s="62">
        <f>V12/($B$19*10)</f>
        <v>6.2824328871932233E-2</v>
      </c>
    </row>
    <row r="13" spans="1:23" ht="16.5" thickBot="1" x14ac:dyDescent="0.3">
      <c r="A13" s="14"/>
      <c r="B13" s="13" t="s">
        <v>16</v>
      </c>
      <c r="C13" s="12">
        <v>-45</v>
      </c>
      <c r="D13" s="61">
        <f>($B$15 *C13)/($B$23+$B$15)</f>
        <v>-20.304485706688872</v>
      </c>
      <c r="E13" s="60">
        <v>-0.09</v>
      </c>
      <c r="F13" s="59">
        <v>-0.22370000000000001</v>
      </c>
      <c r="G13" s="59">
        <v>-3.7499999999999999E-2</v>
      </c>
      <c r="H13" s="59">
        <v>-0.1082</v>
      </c>
      <c r="I13" s="59">
        <v>-0.1835</v>
      </c>
      <c r="J13" s="60">
        <v>-0.99050000000000005</v>
      </c>
      <c r="K13" s="59">
        <v>-0.99199999999999999</v>
      </c>
      <c r="L13" s="59">
        <v>-0.99309999999999998</v>
      </c>
      <c r="M13" s="59">
        <v>-0.99329999999999996</v>
      </c>
      <c r="N13" s="59">
        <v>-0.99229999999999996</v>
      </c>
      <c r="O13" s="58"/>
      <c r="P13" s="57">
        <v>-6.61</v>
      </c>
      <c r="Q13" s="56">
        <v>-16.73</v>
      </c>
      <c r="R13" s="56">
        <v>-2.83</v>
      </c>
      <c r="S13" s="56">
        <v>-8.17</v>
      </c>
      <c r="T13" s="56">
        <v>-13.73</v>
      </c>
      <c r="U13" s="55">
        <f>AVERAGE(P13:T13)</f>
        <v>-9.6140000000000008</v>
      </c>
      <c r="V13" s="54"/>
      <c r="W13" s="53"/>
    </row>
    <row r="14" spans="1:23" ht="15.75" x14ac:dyDescent="0.25">
      <c r="A14" s="52"/>
      <c r="B14" s="3"/>
      <c r="C14" s="3"/>
      <c r="D14" s="3"/>
      <c r="E14" s="3"/>
      <c r="F14" s="3"/>
      <c r="G14" s="51"/>
      <c r="H14" s="51"/>
      <c r="I14" s="51"/>
      <c r="J14" s="51"/>
      <c r="K14" s="3"/>
      <c r="L14" s="3"/>
      <c r="M14" s="51"/>
      <c r="N14" s="50"/>
      <c r="O14" s="50"/>
      <c r="V14" s="6">
        <f>AVERAGE(V6:V13)</f>
        <v>10.915957137189396</v>
      </c>
      <c r="W14" s="49">
        <f>AVERAGE(W6:W13)</f>
        <v>6.346486707668253E-2</v>
      </c>
    </row>
    <row r="15" spans="1:23" x14ac:dyDescent="0.25">
      <c r="A15" t="s">
        <v>42</v>
      </c>
      <c r="B15">
        <v>100</v>
      </c>
      <c r="C15" t="s">
        <v>41</v>
      </c>
    </row>
    <row r="17" spans="1:14" ht="21" x14ac:dyDescent="0.35">
      <c r="A17" s="48" t="s">
        <v>40</v>
      </c>
    </row>
    <row r="18" spans="1:14" x14ac:dyDescent="0.25">
      <c r="A18" s="46" t="s">
        <v>39</v>
      </c>
      <c r="B18" s="45">
        <v>1.18</v>
      </c>
      <c r="C18" t="s">
        <v>38</v>
      </c>
    </row>
    <row r="19" spans="1:14" x14ac:dyDescent="0.25">
      <c r="A19" s="47" t="s">
        <v>37</v>
      </c>
      <c r="B19" s="45">
        <v>17.2</v>
      </c>
      <c r="C19" t="s">
        <v>33</v>
      </c>
    </row>
    <row r="20" spans="1:14" x14ac:dyDescent="0.25">
      <c r="A20" s="47" t="s">
        <v>36</v>
      </c>
      <c r="B20" s="45">
        <v>171.78800000000001</v>
      </c>
      <c r="C20" t="s">
        <v>35</v>
      </c>
      <c r="G20" t="s">
        <v>13</v>
      </c>
    </row>
    <row r="21" spans="1:14" x14ac:dyDescent="0.25">
      <c r="A21" s="47" t="s">
        <v>34</v>
      </c>
      <c r="B21" s="45">
        <v>0.6</v>
      </c>
      <c r="C21" t="s">
        <v>33</v>
      </c>
    </row>
    <row r="22" spans="1:14" x14ac:dyDescent="0.25">
      <c r="A22" s="46" t="s">
        <v>32</v>
      </c>
      <c r="B22" s="45">
        <f>B20*B21</f>
        <v>103.0728</v>
      </c>
      <c r="C22" t="s">
        <v>31</v>
      </c>
    </row>
    <row r="23" spans="1:14" x14ac:dyDescent="0.25">
      <c r="A23" s="44" t="s">
        <v>30</v>
      </c>
      <c r="B23" s="43">
        <f>B18*B22</f>
        <v>121.62590399999999</v>
      </c>
      <c r="C23" s="1" t="s">
        <v>29</v>
      </c>
      <c r="D23" s="1"/>
      <c r="E23" s="1"/>
      <c r="F23" s="1"/>
    </row>
    <row r="25" spans="1:14" ht="15.75" thickBot="1" x14ac:dyDescent="0.3"/>
    <row r="26" spans="1:14" ht="21" x14ac:dyDescent="0.35">
      <c r="A26" s="42" t="s">
        <v>28</v>
      </c>
      <c r="D26" s="41" t="s">
        <v>27</v>
      </c>
      <c r="E26" s="40"/>
      <c r="F26" s="40"/>
      <c r="G26" s="40"/>
      <c r="H26" s="40"/>
      <c r="I26" s="40"/>
      <c r="J26" s="40"/>
      <c r="K26" s="40"/>
      <c r="L26" s="40"/>
      <c r="M26" s="40"/>
      <c r="N26" s="39"/>
    </row>
    <row r="27" spans="1:14" ht="16.5" thickBot="1" x14ac:dyDescent="0.3">
      <c r="A27" s="14" t="s">
        <v>26</v>
      </c>
      <c r="B27" s="38"/>
      <c r="C27" s="38"/>
      <c r="D27" s="37" t="s">
        <v>25</v>
      </c>
      <c r="E27" s="36"/>
      <c r="F27" s="36"/>
      <c r="G27" s="36"/>
      <c r="H27" s="36"/>
      <c r="I27" s="36" t="s">
        <v>24</v>
      </c>
      <c r="J27" s="36"/>
      <c r="K27" s="36"/>
      <c r="L27" s="36"/>
      <c r="M27" s="36"/>
      <c r="N27" s="35" t="s">
        <v>23</v>
      </c>
    </row>
    <row r="28" spans="1:14" ht="15.75" x14ac:dyDescent="0.25">
      <c r="A28" s="21" t="s">
        <v>22</v>
      </c>
      <c r="B28" s="20" t="s">
        <v>17</v>
      </c>
      <c r="C28" s="19">
        <v>0</v>
      </c>
      <c r="D28" s="34">
        <v>12.25</v>
      </c>
      <c r="E28" s="33">
        <v>8.4420000000000002</v>
      </c>
      <c r="F28" s="33">
        <v>10.561999999999999</v>
      </c>
      <c r="G28" s="33">
        <v>11.507999999999999</v>
      </c>
      <c r="H28" s="33">
        <v>9.6509999999999998</v>
      </c>
      <c r="I28" s="34">
        <v>11.752000000000001</v>
      </c>
      <c r="J28" s="33">
        <v>3.1850000000000001</v>
      </c>
      <c r="K28" s="33">
        <v>3.101</v>
      </c>
      <c r="L28" s="33">
        <v>11.061</v>
      </c>
      <c r="M28" s="32">
        <v>3.0009999999999999</v>
      </c>
      <c r="N28" s="31">
        <f>SUM(AVERAGE(D28:H29)+AVERAGE(I28:M29))</f>
        <v>16.9026</v>
      </c>
    </row>
    <row r="29" spans="1:14" ht="16.5" thickBot="1" x14ac:dyDescent="0.3">
      <c r="A29" s="14"/>
      <c r="B29" s="13" t="s">
        <v>16</v>
      </c>
      <c r="C29" s="12">
        <v>0</v>
      </c>
      <c r="D29" s="18"/>
      <c r="E29" s="17"/>
      <c r="F29" s="17"/>
      <c r="G29" s="17"/>
      <c r="H29" s="17"/>
      <c r="I29" s="18"/>
      <c r="J29" s="17"/>
      <c r="K29" s="17"/>
      <c r="L29" s="17"/>
      <c r="M29" s="16"/>
      <c r="N29" s="28"/>
    </row>
    <row r="30" spans="1:14" ht="15.75" x14ac:dyDescent="0.25">
      <c r="A30" s="27" t="s">
        <v>21</v>
      </c>
      <c r="B30" s="26" t="s">
        <v>17</v>
      </c>
      <c r="C30" s="25">
        <v>60</v>
      </c>
      <c r="D30" s="18">
        <v>7.0060000000000002</v>
      </c>
      <c r="E30" s="17">
        <v>7.444</v>
      </c>
      <c r="F30" s="17">
        <v>7.0030000000000001</v>
      </c>
      <c r="G30" s="17">
        <v>6.7489999999999997</v>
      </c>
      <c r="H30" s="17">
        <v>6.9989999999999997</v>
      </c>
      <c r="I30" s="18">
        <v>12.753</v>
      </c>
      <c r="J30" s="17">
        <v>13.75</v>
      </c>
      <c r="K30" s="17">
        <v>5.24</v>
      </c>
      <c r="L30" s="17">
        <v>13.750999999999999</v>
      </c>
      <c r="M30" s="16">
        <v>14.242000000000001</v>
      </c>
      <c r="N30" s="15">
        <f>SUM(AVERAGE(D30:H31)+AVERAGE(I30:M31))</f>
        <v>18.987400000000001</v>
      </c>
    </row>
    <row r="31" spans="1:14" ht="16.5" thickBot="1" x14ac:dyDescent="0.3">
      <c r="A31" s="24"/>
      <c r="B31" s="23" t="s">
        <v>16</v>
      </c>
      <c r="C31" s="22">
        <v>-40</v>
      </c>
      <c r="D31" s="18"/>
      <c r="E31" s="17"/>
      <c r="F31" s="17"/>
      <c r="G31" s="17"/>
      <c r="H31" s="17"/>
      <c r="I31" s="18"/>
      <c r="J31" s="17"/>
      <c r="K31" s="17"/>
      <c r="L31" s="17"/>
      <c r="M31" s="16"/>
      <c r="N31" s="15"/>
    </row>
    <row r="32" spans="1:14" ht="15.75" x14ac:dyDescent="0.25">
      <c r="A32" s="21" t="s">
        <v>20</v>
      </c>
      <c r="B32" s="20" t="s">
        <v>17</v>
      </c>
      <c r="C32" s="19">
        <v>50</v>
      </c>
      <c r="D32" s="18">
        <v>7.0090000000000003</v>
      </c>
      <c r="E32" s="17">
        <v>6.9989999999999997</v>
      </c>
      <c r="F32" s="17">
        <v>18.756</v>
      </c>
      <c r="G32" s="17">
        <v>15.847</v>
      </c>
      <c r="H32" s="17">
        <v>6.7460000000000004</v>
      </c>
      <c r="I32" s="30">
        <v>13.249000000000001</v>
      </c>
      <c r="J32" s="29">
        <v>4.9560000000000004</v>
      </c>
      <c r="K32" s="29">
        <v>5.2610000000000001</v>
      </c>
      <c r="L32" s="29">
        <v>5.5039999999999996</v>
      </c>
      <c r="M32" s="28">
        <v>5.492</v>
      </c>
      <c r="N32" s="15">
        <f>SUM(AVERAGE(D32:H33)+AVERAGE(I32:M33))</f>
        <v>17.963799999999999</v>
      </c>
    </row>
    <row r="33" spans="1:14" ht="16.5" thickBot="1" x14ac:dyDescent="0.3">
      <c r="A33" s="14"/>
      <c r="B33" s="13" t="s">
        <v>16</v>
      </c>
      <c r="C33" s="12">
        <v>50</v>
      </c>
      <c r="D33" s="18"/>
      <c r="E33" s="17"/>
      <c r="F33" s="17"/>
      <c r="G33" s="17"/>
      <c r="H33" s="17"/>
      <c r="I33" s="30"/>
      <c r="J33" s="29"/>
      <c r="K33" s="29"/>
      <c r="L33" s="29"/>
      <c r="M33" s="28"/>
      <c r="N33" s="15"/>
    </row>
    <row r="34" spans="1:14" ht="15.75" x14ac:dyDescent="0.25">
      <c r="A34" s="27" t="s">
        <v>19</v>
      </c>
      <c r="B34" s="26" t="s">
        <v>17</v>
      </c>
      <c r="C34" s="25">
        <v>-40</v>
      </c>
      <c r="D34" s="18">
        <v>9.359</v>
      </c>
      <c r="E34" s="17">
        <v>15.688000000000001</v>
      </c>
      <c r="F34" s="17">
        <v>7.5010000000000003</v>
      </c>
      <c r="G34" s="17">
        <v>6.7519999999999998</v>
      </c>
      <c r="H34" s="17">
        <v>15.750999999999999</v>
      </c>
      <c r="I34" s="18">
        <v>5.9969999999999999</v>
      </c>
      <c r="J34" s="17">
        <v>12.259</v>
      </c>
      <c r="K34" s="17">
        <v>14.504</v>
      </c>
      <c r="L34" s="17">
        <v>14.749000000000001</v>
      </c>
      <c r="M34" s="16">
        <v>15.196</v>
      </c>
      <c r="N34" s="15">
        <f>SUM(AVERAGE(D34:H35)+AVERAGE(I34:M35))</f>
        <v>23.551200000000001</v>
      </c>
    </row>
    <row r="35" spans="1:14" ht="16.5" thickBot="1" x14ac:dyDescent="0.3">
      <c r="A35" s="24"/>
      <c r="B35" s="23" t="s">
        <v>16</v>
      </c>
      <c r="C35" s="22">
        <v>20</v>
      </c>
      <c r="D35" s="18"/>
      <c r="E35" s="17"/>
      <c r="F35" s="17"/>
      <c r="G35" s="17"/>
      <c r="H35" s="17"/>
      <c r="I35" s="18"/>
      <c r="J35" s="17"/>
      <c r="K35" s="17"/>
      <c r="L35" s="17"/>
      <c r="M35" s="16"/>
      <c r="N35" s="15"/>
    </row>
    <row r="36" spans="1:14" ht="15.75" x14ac:dyDescent="0.25">
      <c r="A36" s="21" t="s">
        <v>18</v>
      </c>
      <c r="B36" s="20" t="s">
        <v>17</v>
      </c>
      <c r="C36" s="19">
        <v>-30</v>
      </c>
      <c r="D36" s="18">
        <v>14.257999999999999</v>
      </c>
      <c r="E36" s="17">
        <v>6.7309999999999999</v>
      </c>
      <c r="F36" s="17">
        <v>13.42</v>
      </c>
      <c r="G36" s="17">
        <v>12.842000000000001</v>
      </c>
      <c r="H36" s="17">
        <v>11.997999999999999</v>
      </c>
      <c r="I36" s="18">
        <v>6.7409999999999997</v>
      </c>
      <c r="J36" s="17">
        <v>6.9960000000000004</v>
      </c>
      <c r="K36" s="17">
        <v>6.1429999999999998</v>
      </c>
      <c r="L36" s="17">
        <v>6.9930000000000003</v>
      </c>
      <c r="M36" s="16">
        <v>6.5060000000000002</v>
      </c>
      <c r="N36" s="15">
        <f>SUM(AVERAGE(D36:H37)+AVERAGE(I36:M37))</f>
        <v>18.525599999999997</v>
      </c>
    </row>
    <row r="37" spans="1:14" ht="16.5" thickBot="1" x14ac:dyDescent="0.3">
      <c r="A37" s="14"/>
      <c r="B37" s="13" t="s">
        <v>16</v>
      </c>
      <c r="C37" s="12">
        <v>-45</v>
      </c>
      <c r="D37" s="11"/>
      <c r="E37" s="10"/>
      <c r="F37" s="10"/>
      <c r="G37" s="10"/>
      <c r="H37" s="10"/>
      <c r="I37" s="11"/>
      <c r="J37" s="10"/>
      <c r="K37" s="10"/>
      <c r="L37" s="10"/>
      <c r="M37" s="9"/>
      <c r="N37" s="8"/>
    </row>
    <row r="38" spans="1:14" x14ac:dyDescent="0.25">
      <c r="M38" s="7">
        <f>AVERAGE(D28:M37)</f>
        <v>9.5930600000000013</v>
      </c>
      <c r="N38" s="7">
        <f>AVERAGE(N28:N37)</f>
        <v>19.186119999999999</v>
      </c>
    </row>
  </sheetData>
  <mergeCells count="87">
    <mergeCell ref="E1:N1"/>
    <mergeCell ref="A12:A13"/>
    <mergeCell ref="A4:A5"/>
    <mergeCell ref="A6:A7"/>
    <mergeCell ref="A8:A9"/>
    <mergeCell ref="E2:I2"/>
    <mergeCell ref="W4:W5"/>
    <mergeCell ref="V6:V7"/>
    <mergeCell ref="W6:W7"/>
    <mergeCell ref="J2:N2"/>
    <mergeCell ref="A3:C3"/>
    <mergeCell ref="A10:A11"/>
    <mergeCell ref="U2:U3"/>
    <mergeCell ref="V8:V9"/>
    <mergeCell ref="W8:W9"/>
    <mergeCell ref="V10:V11"/>
    <mergeCell ref="W10:W11"/>
    <mergeCell ref="V12:V13"/>
    <mergeCell ref="W12:W13"/>
    <mergeCell ref="V2:V3"/>
    <mergeCell ref="W2:W3"/>
    <mergeCell ref="V4:V5"/>
    <mergeCell ref="K28:K29"/>
    <mergeCell ref="L28:L29"/>
    <mergeCell ref="M28:M29"/>
    <mergeCell ref="D27:H27"/>
    <mergeCell ref="I27:M27"/>
    <mergeCell ref="P2:T2"/>
    <mergeCell ref="A27:C27"/>
    <mergeCell ref="A28:A29"/>
    <mergeCell ref="D28:D29"/>
    <mergeCell ref="I28:I29"/>
    <mergeCell ref="N28:N29"/>
    <mergeCell ref="E28:E29"/>
    <mergeCell ref="F28:F29"/>
    <mergeCell ref="G28:G29"/>
    <mergeCell ref="H28:H29"/>
    <mergeCell ref="J28:J29"/>
    <mergeCell ref="G30:G31"/>
    <mergeCell ref="H30:H31"/>
    <mergeCell ref="E32:E33"/>
    <mergeCell ref="F32:F33"/>
    <mergeCell ref="G32:G33"/>
    <mergeCell ref="H32:H33"/>
    <mergeCell ref="A30:A31"/>
    <mergeCell ref="D30:D31"/>
    <mergeCell ref="I30:I31"/>
    <mergeCell ref="N30:N31"/>
    <mergeCell ref="A32:A33"/>
    <mergeCell ref="D32:D33"/>
    <mergeCell ref="I32:I33"/>
    <mergeCell ref="N32:N33"/>
    <mergeCell ref="E30:E31"/>
    <mergeCell ref="F30:F31"/>
    <mergeCell ref="G34:G35"/>
    <mergeCell ref="H34:H35"/>
    <mergeCell ref="E36:E37"/>
    <mergeCell ref="F36:F37"/>
    <mergeCell ref="G36:G37"/>
    <mergeCell ref="H36:H37"/>
    <mergeCell ref="A34:A35"/>
    <mergeCell ref="D34:D35"/>
    <mergeCell ref="I34:I35"/>
    <mergeCell ref="N34:N35"/>
    <mergeCell ref="A36:A37"/>
    <mergeCell ref="D36:D37"/>
    <mergeCell ref="I36:I37"/>
    <mergeCell ref="N36:N37"/>
    <mergeCell ref="E34:E35"/>
    <mergeCell ref="F34:F35"/>
    <mergeCell ref="K30:K31"/>
    <mergeCell ref="L30:L31"/>
    <mergeCell ref="M30:M31"/>
    <mergeCell ref="J32:J33"/>
    <mergeCell ref="K32:K33"/>
    <mergeCell ref="L32:L33"/>
    <mergeCell ref="M32:M33"/>
    <mergeCell ref="D26:N26"/>
    <mergeCell ref="J34:J35"/>
    <mergeCell ref="K34:K35"/>
    <mergeCell ref="L34:L35"/>
    <mergeCell ref="M34:M35"/>
    <mergeCell ref="J36:J37"/>
    <mergeCell ref="K36:K37"/>
    <mergeCell ref="L36:L37"/>
    <mergeCell ref="M36:M37"/>
    <mergeCell ref="J30:J3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F4AB715CD7D348B9EB6F7EE0CE87AF" ma:contentTypeVersion="15" ma:contentTypeDescription="Create a new document." ma:contentTypeScope="" ma:versionID="f25381d960ed449d6f4235abcc1a8f24">
  <xsd:schema xmlns:xsd="http://www.w3.org/2001/XMLSchema" xmlns:xs="http://www.w3.org/2001/XMLSchema" xmlns:p="http://schemas.microsoft.com/office/2006/metadata/properties" xmlns:ns3="30ef2084-6849-4126-9791-ab34764d2fef" xmlns:ns4="e03c5b87-ca02-4129-8389-a748bad21db9" targetNamespace="http://schemas.microsoft.com/office/2006/metadata/properties" ma:root="true" ma:fieldsID="917b63089365d02da390b156536f30fb" ns3:_="" ns4:_="">
    <xsd:import namespace="30ef2084-6849-4126-9791-ab34764d2fef"/>
    <xsd:import namespace="e03c5b87-ca02-4129-8389-a748bad21db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f2084-6849-4126-9791-ab34764d2f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c5b87-ca02-4129-8389-a748bad21d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f2084-6849-4126-9791-ab34764d2fef" xsi:nil="true"/>
  </documentManagement>
</p:properties>
</file>

<file path=customXml/itemProps1.xml><?xml version="1.0" encoding="utf-8"?>
<ds:datastoreItem xmlns:ds="http://schemas.openxmlformats.org/officeDocument/2006/customXml" ds:itemID="{958F1E9E-8139-4E37-A729-5147101402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BDA1BC-83B3-487E-B4F1-25CC5D613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ef2084-6849-4126-9791-ab34764d2fef"/>
    <ds:schemaRef ds:uri="e03c5b87-ca02-4129-8389-a748bad21d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D179792-9114-4FAB-9BB3-9BE23818CD0D}">
  <ds:schemaRefs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e03c5b87-ca02-4129-8389-a748bad21db9"/>
    <ds:schemaRef ds:uri="30ef2084-6849-4126-9791-ab34764d2fe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Hyland</dc:creator>
  <cp:lastModifiedBy>Hyland, Steven</cp:lastModifiedBy>
  <dcterms:created xsi:type="dcterms:W3CDTF">2023-09-14T18:49:27Z</dcterms:created>
  <dcterms:modified xsi:type="dcterms:W3CDTF">2023-09-15T04:46:42Z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0x0101003BF4AB715CD7D348B9EB6F7EE0CE87AF</vt:lpwstr>
  </property>
</Properties>
</file>